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VOD_Market_Growth" sheetId="2" state="visible" r:id="rId4"/>
    <sheet name="2_Platform_Market_Share" sheetId="3" state="visible" r:id="rId5"/>
    <sheet name="3_Platform_Comparison" sheetId="4" state="visible" r:id="rId6"/>
    <sheet name="4_Content_Consumption" sheetId="5" state="visible" r:id="rId7"/>
    <sheet name="5_Gaming_Market" sheetId="6" state="visible" r:id="rId8"/>
    <sheet name="6_Education_Market" sheetId="7" state="visible" r:id="rId9"/>
    <sheet name="7_Revenue_Opportunity" sheetId="8" state="visible" r:id="rId10"/>
    <sheet name="8_Strategic_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<sst xmlns="http://schemas.openxmlformats.org/spreadsheetml/2006/main" count="345" uniqueCount="277">
  <si>
    <t xml:space="preserve">Kenya VOD Market Research — Dataset Guide</t>
  </si>
  <si>
    <t xml:space="preserve">Viusasa, Gaming, Education &amp; VOD Platform Analysis — March 2026</t>
  </si>
  <si>
    <t xml:space="preserve">Sheet Name</t>
  </si>
  <si>
    <t xml:space="preserve">Chart It Powers</t>
  </si>
  <si>
    <t xml:space="preserve">Data Description</t>
  </si>
  <si>
    <t xml:space="preserve">1_VOD_Market_Growth</t>
  </si>
  <si>
    <t xml:space="preserve">Chart 1 — Market Growth</t>
  </si>
  <si>
    <t xml:space="preserve">Kenya VoD total &amp; SVOD revenue forecast 2022-2027 + user penetration %</t>
  </si>
  <si>
    <t xml:space="preserve">2_Platform_Market_Share</t>
  </si>
  <si>
    <t xml:space="preserve">Chart 2 — Market Share</t>
  </si>
  <si>
    <t xml:space="preserve">Africa SVOD market share (donut) + Kenya platform positioning scores</t>
  </si>
  <si>
    <t xml:space="preserve">3_Platform_Comparison</t>
  </si>
  <si>
    <t xml:space="preserve">Chart 3 — Radar</t>
  </si>
  <si>
    <t xml:space="preserve">Feature scores for Viusasa, Showmax, Netflix across 7 dimensions</t>
  </si>
  <si>
    <t xml:space="preserve">4_Content_Consumption</t>
  </si>
  <si>
    <t xml:space="preserve">Chart 4 — Content Mix</t>
  </si>
  <si>
    <t xml:space="preserve">Video content type consumption % + platform content mix by genre</t>
  </si>
  <si>
    <t xml:space="preserve">5_Gaming_Market</t>
  </si>
  <si>
    <t xml:space="preserve">Chart 5 — Gaming</t>
  </si>
  <si>
    <t xml:space="preserve">Kenya gaming revenue growth + platform split + genre popularity</t>
  </si>
  <si>
    <t xml:space="preserve">6_Education_Market</t>
  </si>
  <si>
    <t xml:space="preserve">Chart 6 — Education</t>
  </si>
  <si>
    <t xml:space="preserve">Kenya online edu market revenue forecast + content type demand index</t>
  </si>
  <si>
    <t xml:space="preserve">7_Revenue_Opportunity</t>
  </si>
  <si>
    <t xml:space="preserve">Chart 7 — TAM/SAM/SOM + Revenue</t>
  </si>
  <si>
    <t xml:space="preserve">Edu &amp; Gaming TAM/SAM/SOM + Viusasa 5-year projected revenue model</t>
  </si>
  <si>
    <t xml:space="preserve">8_Strategic_Dashboard</t>
  </si>
  <si>
    <t xml:space="preserve">Chart 8 — Dashboard</t>
  </si>
  <si>
    <t xml:space="preserve">KPI summary + opportunity scoring + Kenya digital readiness indicators</t>
  </si>
  <si>
    <t xml:space="preserve">HOW TO USE: Open each sheet, select the data table, Insert → Chart. Follow the Jupyter notebook for Python plotting instructions.</t>
  </si>
  <si>
    <t xml:space="preserve">Section A — Kenya VoD Market Volume Forecast (USD Million)</t>
  </si>
  <si>
    <t xml:space="preserve">Year</t>
  </si>
  <si>
    <t xml:space="preserve">Total VoD ($M)</t>
  </si>
  <si>
    <t xml:space="preserve">SVOD Only ($M)</t>
  </si>
  <si>
    <t xml:space="preserve">YoY Growth VoD (%)</t>
  </si>
  <si>
    <t xml:space="preserve">YoY Growth SVOD (%)</t>
  </si>
  <si>
    <t xml:space="preserve">Source: Statista Market Forecast Kenya, 2024</t>
  </si>
  <si>
    <t xml:space="preserve">Section B — VoD User Penetration Forecast (% of Population)</t>
  </si>
  <si>
    <t xml:space="preserve">User Penetration (%)</t>
  </si>
  <si>
    <t xml:space="preserve">Category</t>
  </si>
  <si>
    <t xml:space="preserve">Notes</t>
  </si>
  <si>
    <t xml:space="preserve">Historical</t>
  </si>
  <si>
    <t xml:space="preserve">Current baseline</t>
  </si>
  <si>
    <t xml:space="preserve">Forecast</t>
  </si>
  <si>
    <t xml:space="preserve">Statista projection</t>
  </si>
  <si>
    <t xml:space="preserve">Section A — Africa-Wide SVOD Market Share (2023-2024)</t>
  </si>
  <si>
    <t xml:space="preserve">Platform</t>
  </si>
  <si>
    <t xml:space="preserve">Market Share (%)</t>
  </si>
  <si>
    <t xml:space="preserve">Subscribers (est. M)</t>
  </si>
  <si>
    <t xml:space="preserve">Showmax</t>
  </si>
  <si>
    <t xml:space="preserve">MultiChoice platform; Africa leader</t>
  </si>
  <si>
    <t xml:space="preserve">Netflix</t>
  </si>
  <si>
    <t xml:space="preserve">Slipped from #1 in Africa 2023</t>
  </si>
  <si>
    <t xml:space="preserve">Amazon Prime Video</t>
  </si>
  <si>
    <t xml:space="preserve">Limited M-Pesa support</t>
  </si>
  <si>
    <t xml:space="preserve">Others (incl. local)</t>
  </si>
  <si>
    <t xml:space="preserve">Fragmented: Viusasa, iROKO, Wi-Flix etc.</t>
  </si>
  <si>
    <t xml:space="preserve">Source: Omdia via Variety 2024, Dataxis OTT Kenya 2024</t>
  </si>
  <si>
    <t xml:space="preserve">Section B — Kenya Platform Positioning Scores (Scale 1-10)</t>
  </si>
  <si>
    <t xml:space="preserve">Local Content
Score</t>
  </si>
  <si>
    <t xml:space="preserve">Affordability
Score</t>
  </si>
  <si>
    <t xml:space="preserve">Reach
(bubble size)</t>
  </si>
  <si>
    <t xml:space="preserve">SVOD</t>
  </si>
  <si>
    <t xml:space="preserve">Strong sports/international; M-Pesa available</t>
  </si>
  <si>
    <t xml:space="preserve">Premium pricing; no M-Pesa native</t>
  </si>
  <si>
    <t xml:space="preserve">Viusasa</t>
  </si>
  <si>
    <t xml:space="preserve">Top Kenyan platform; Citizen TV library</t>
  </si>
  <si>
    <t xml:space="preserve">YouTube (AVOD)</t>
  </si>
  <si>
    <t xml:space="preserve">AVOD</t>
  </si>
  <si>
    <t xml:space="preserve">Free; largest reach; no subscription needed</t>
  </si>
  <si>
    <t xml:space="preserve">Amazon Prime</t>
  </si>
  <si>
    <t xml:space="preserve">Cheapest global platform; no M-Pesa</t>
  </si>
  <si>
    <t xml:space="preserve">BAZE/Wi-Flix</t>
  </si>
  <si>
    <t xml:space="preserve">Pan-African; lower brand awareness</t>
  </si>
  <si>
    <t xml:space="preserve">Source: Dataxis, Techweez, Tech-ish Kenya 2024 — Qualitative scores by research team</t>
  </si>
  <si>
    <t xml:space="preserve">Feature Comparison Scores — Viusasa vs. Showmax vs. Netflix (Scale 1-10)</t>
  </si>
  <si>
    <t xml:space="preserve">Dimension</t>
  </si>
  <si>
    <t xml:space="preserve">Local Content</t>
  </si>
  <si>
    <t xml:space="preserve">Viusasa = Citizen TV library + vernacular</t>
  </si>
  <si>
    <t xml:space="preserve">Affordability</t>
  </si>
  <si>
    <t xml:space="preserve">Viusasa: KSh 20/day; Netflix: KSh 200+/mo</t>
  </si>
  <si>
    <t xml:space="preserve">M-Pesa Payment</t>
  </si>
  <si>
    <t xml:space="preserve">Viusasa fully native; Netflix requires card</t>
  </si>
  <si>
    <t xml:space="preserve">Vernacular Languages</t>
  </si>
  <si>
    <t xml:space="preserve">Viusasa: Gikuyu/Luo/Kamba/etc.</t>
  </si>
  <si>
    <t xml:space="preserve">Tech/UX Quality</t>
  </si>
  <si>
    <t xml:space="preserve">Netflix gold standard; Viusasa has UX issues</t>
  </si>
  <si>
    <t xml:space="preserve">Content Library Size</t>
  </si>
  <si>
    <t xml:space="preserve">Global platforms vastly wider catalogues</t>
  </si>
  <si>
    <t xml:space="preserve">Sports</t>
  </si>
  <si>
    <t xml:space="preserve">Showmax: EPL rights dominant</t>
  </si>
  <si>
    <t xml:space="preserve">Source: Qualitative assessment — Techweez, Tech-ish, Viusasa.com, Google Play reviews 2024</t>
  </si>
  <si>
    <t xml:space="preserve">Section A — Online Video Content Type (% of Internet Users Watching)</t>
  </si>
  <si>
    <t xml:space="preserve">Content Type</t>
  </si>
  <si>
    <t xml:space="preserve">% of Users</t>
  </si>
  <si>
    <t xml:space="preserve">Music Videos</t>
  </si>
  <si>
    <t xml:space="preserve">High</t>
  </si>
  <si>
    <t xml:space="preserve">Comedy / Viral</t>
  </si>
  <si>
    <t xml:space="preserve">Drama / TV Shows</t>
  </si>
  <si>
    <t xml:space="preserve">News / Current Affairs</t>
  </si>
  <si>
    <t xml:space="preserve">Educational Videos</t>
  </si>
  <si>
    <t xml:space="preserve">Medium</t>
  </si>
  <si>
    <t xml:space="preserve">Tutorials / How-To</t>
  </si>
  <si>
    <t xml:space="preserve">Gospel / Religious</t>
  </si>
  <si>
    <t xml:space="preserve">Kids Content</t>
  </si>
  <si>
    <t xml:space="preserve">Source: GWI / DataReportal Q3 2023 — Kenya internet users aged 16-64</t>
  </si>
  <si>
    <t xml:space="preserve">Section B — Estimated Content Mix by Platform (% of catalogue)</t>
  </si>
  <si>
    <t xml:space="preserve">Local Drama</t>
  </si>
  <si>
    <t xml:space="preserve">Comedy</t>
  </si>
  <si>
    <t xml:space="preserve">Gospel/Religious</t>
  </si>
  <si>
    <t xml:space="preserve">Music</t>
  </si>
  <si>
    <t xml:space="preserve">International</t>
  </si>
  <si>
    <t xml:space="preserve">Reality TV</t>
  </si>
  <si>
    <t xml:space="preserve">TOTAL CHECK</t>
  </si>
  <si>
    <t xml:space="preserve">YouTube</t>
  </si>
  <si>
    <t xml:space="preserve">Source: Qualitative catalogue analysis — Viusasa.com, Showmax.com, Netflix.com 2024</t>
  </si>
  <si>
    <t xml:space="preserve">Section A — Kenya Gaming Revenue Forecast (USD Million)</t>
  </si>
  <si>
    <t xml:space="preserve">Total Gaming Revenue ($M)</t>
  </si>
  <si>
    <t xml:space="preserve">YoY Growth (%)</t>
  </si>
  <si>
    <t xml:space="preserve">PwC back-estimate</t>
  </si>
  <si>
    <t xml:space="preserve">PwC</t>
  </si>
  <si>
    <t xml:space="preserve">PwC Africa E&amp;M Outlook 2025</t>
  </si>
  <si>
    <t xml:space="preserve">6.9% CAGR applied</t>
  </si>
  <si>
    <t xml:space="preserve">Source: PwC Africa Entertainment &amp; Media Outlook 2025-2029; Ken Research Oct 2025</t>
  </si>
  <si>
    <t xml:space="preserve">Section B — Kenya Gaming Revenue by Platform Type (estimated)</t>
  </si>
  <si>
    <t xml:space="preserve">Platform Type</t>
  </si>
  <si>
    <t xml:space="preserve">Revenue Share (%)</t>
  </si>
  <si>
    <t xml:space="preserve">Mobile Gaming</t>
  </si>
  <si>
    <t xml:space="preserve">Dominant; smartphone penetration &gt;89%</t>
  </si>
  <si>
    <t xml:space="preserve">Betting/iGaming</t>
  </si>
  <si>
    <t xml:space="preserve">SportPesa etc. overlap with gaming revenue</t>
  </si>
  <si>
    <t xml:space="preserve">Gaming Lounges</t>
  </si>
  <si>
    <t xml:space="preserve">Urban; fills console ownership gap</t>
  </si>
  <si>
    <t xml:space="preserve">PC/Browser</t>
  </si>
  <si>
    <t xml:space="preserve">Growing with Nairobi tech hub</t>
  </si>
  <si>
    <t xml:space="preserve">Console</t>
  </si>
  <si>
    <t xml:space="preserve">High import duty (25%+16% VAT) limits market</t>
  </si>
  <si>
    <t xml:space="preserve">Section C — Most Popular Game Genres in Kenya (Popularity Index 0-100)</t>
  </si>
  <si>
    <t xml:space="preserve">Game Genre</t>
  </si>
  <si>
    <t xml:space="preserve">Popularity Index</t>
  </si>
  <si>
    <t xml:space="preserve">Football (FIFA/eFootball)</t>
  </si>
  <si>
    <t xml:space="preserve">Mirrors passion for EPL; AFCON drivers</t>
  </si>
  <si>
    <t xml:space="preserve">Casual / Puzzle</t>
  </si>
  <si>
    <t xml:space="preserve">Free-to-play domination on mobile</t>
  </si>
  <si>
    <t xml:space="preserve">Battle Royale (Free Fire)</t>
  </si>
  <si>
    <t xml:space="preserve">Free Fire dominates Africa vs. PUBG/Fortnite</t>
  </si>
  <si>
    <t xml:space="preserve">Betting / Sports Games</t>
  </si>
  <si>
    <t xml:space="preserve">Overlaps with iGaming; high engagement</t>
  </si>
  <si>
    <t xml:space="preserve">Action / RPG</t>
  </si>
  <si>
    <t xml:space="preserve">Growing with better smartphone specs</t>
  </si>
  <si>
    <t xml:space="preserve">Card / Board Games</t>
  </si>
  <si>
    <t xml:space="preserve">Casual social segment</t>
  </si>
  <si>
    <t xml:space="preserve">Source: Ken Research, Atlantic Council Africa Gaming 2024, Mordor Intelligence 2025</t>
  </si>
  <si>
    <t xml:space="preserve">Section A — Kenya Online Education Market Revenue Forecast (USD Million)</t>
  </si>
  <si>
    <t xml:space="preserve">Revenue ($M)</t>
  </si>
  <si>
    <t xml:space="preserve">% Internet Users
Watching Edu Content</t>
  </si>
  <si>
    <t xml:space="preserve">Forecast (Statista)</t>
  </si>
  <si>
    <t xml:space="preserve">Source: Statista Online Learning Kenya 2024; GWI/DataReportal 2023</t>
  </si>
  <si>
    <t xml:space="preserve">Section B — Educational Content Demand by Type (Index 0-100)</t>
  </si>
  <si>
    <t xml:space="preserve">Educational Content Type</t>
  </si>
  <si>
    <t xml:space="preserve">Demand Index</t>
  </si>
  <si>
    <t xml:space="preserve">CBC / K-12 Curriculum</t>
  </si>
  <si>
    <t xml:space="preserve">Govt mandate; 23,000+ schools digital integration</t>
  </si>
  <si>
    <t xml:space="preserve">Vocational &amp; Coding</t>
  </si>
  <si>
    <t xml:space="preserve">Youth unemployment drives demand for skills</t>
  </si>
  <si>
    <t xml:space="preserve">Financial Literacy</t>
  </si>
  <si>
    <t xml:space="preserve">Post-2020 boom; M-Pesa financial awareness</t>
  </si>
  <si>
    <t xml:space="preserve">Language Learning</t>
  </si>
  <si>
    <t xml:space="preserve">English + vernacular literacy gaps</t>
  </si>
  <si>
    <t xml:space="preserve">Entrepreneurship</t>
  </si>
  <si>
    <t xml:space="preserve">High SME density; startup culture Nairobi</t>
  </si>
  <si>
    <t xml:space="preserve">Health &amp; Wellness</t>
  </si>
  <si>
    <t xml:space="preserve">Growing middle class health awareness</t>
  </si>
  <si>
    <t xml:space="preserve">Agriculture &amp; Food</t>
  </si>
  <si>
    <t xml:space="preserve">Rural base; Kenya = agri-led economy</t>
  </si>
  <si>
    <t xml:space="preserve">Source: KICD, Statista, IMARC Group, MarketDataForecast 2024-2025</t>
  </si>
  <si>
    <t xml:space="preserve">Section A — TAM / SAM / SOM Analysis (USD Million, 2024)</t>
  </si>
  <si>
    <t xml:space="preserve">Market Tier</t>
  </si>
  <si>
    <t xml:space="preserve">Education ($M)</t>
  </si>
  <si>
    <t xml:space="preserve">Gaming ($M)</t>
  </si>
  <si>
    <t xml:space="preserve">Assumption</t>
  </si>
  <si>
    <t xml:space="preserve">TAM — Total Addressable Market</t>
  </si>
  <si>
    <t xml:space="preserve">Full Kenya market (Statista / PwC 2024)</t>
  </si>
  <si>
    <t xml:space="preserve">SAM — Serviceable Available</t>
  </si>
  <si>
    <t xml:space="preserve">Mobile learners / Mobile gaming segment</t>
  </si>
  <si>
    <t xml:space="preserve">SOM — Serviceable Obtainable</t>
  </si>
  <si>
    <t xml:space="preserve">Viusasa realistic capture in 3 years</t>
  </si>
  <si>
    <t xml:space="preserve">SOM as % of SAM</t>
  </si>
  <si>
    <t xml:space="preserve">Viusasa penetration target</t>
  </si>
  <si>
    <t xml:space="preserve">Source: Statista, PwC Africa E&amp;M Outlook 2025-2029, Ken Research 2025</t>
  </si>
  <si>
    <t xml:space="preserve">Section B — Viusasa Projected Revenue Model (USD Million) — Illustrative</t>
  </si>
  <si>
    <t xml:space="preserve">Existing VoD
(Baseline $M)</t>
  </si>
  <si>
    <t xml:space="preserve">Education
Vertical ($M)</t>
  </si>
  <si>
    <t xml:space="preserve">Gaming
Vertical ($M)</t>
  </si>
  <si>
    <t xml:space="preserve">Total Revenue ($M)</t>
  </si>
  <si>
    <t xml:space="preserve">YoY Total Growth (%)</t>
  </si>
  <si>
    <t xml:space="preserve">Base Year</t>
  </si>
  <si>
    <t xml:space="preserve">Launch year</t>
  </si>
  <si>
    <t xml:space="preserve">Growth phase</t>
  </si>
  <si>
    <t xml:space="preserve">Scale-up</t>
  </si>
  <si>
    <t xml:space="preserve">Maturity entry</t>
  </si>
  <si>
    <t xml:space="preserve">N/A</t>
  </si>
  <si>
    <t xml:space="preserve">Full maturity</t>
  </si>
  <si>
    <t xml:space="preserve">NOTE: These are illustrative projections based on market CAGR data and realistic penetration scenarios. Not a financial forecast.</t>
  </si>
  <si>
    <t xml:space="preserve">Source: Model assumptions derived from: Statista, PwC, Ken Research, Mordor Intelligence 2024-2025</t>
  </si>
  <si>
    <t xml:space="preserve">Section A — KPI Summary: Kenya Digital Entertainment 2024</t>
  </si>
  <si>
    <t xml:space="preserve">KPI</t>
  </si>
  <si>
    <t xml:space="preserve">Value</t>
  </si>
  <si>
    <t xml:space="preserve">Unit / Context</t>
  </si>
  <si>
    <t xml:space="preserve">Source</t>
  </si>
  <si>
    <t xml:space="preserve">Kenya VoD Market 2027 Forecast</t>
  </si>
  <si>
    <t xml:space="preserve">$120.6M</t>
  </si>
  <si>
    <t xml:space="preserve">14.96% CAGR 2024-2027</t>
  </si>
  <si>
    <t xml:space="preserve">Statista</t>
  </si>
  <si>
    <t xml:space="preserve">Kenyans paying for digital content</t>
  </si>
  <si>
    <t xml:space="preserve">76.5%</t>
  </si>
  <si>
    <t xml:space="preserve">4th globally (GWI Nov 2024)</t>
  </si>
  <si>
    <t xml:space="preserve">GWI / DataReportal</t>
  </si>
  <si>
    <t xml:space="preserve">Kenya OTT streaming revenue 2024</t>
  </si>
  <si>
    <t xml:space="preserve">$9M</t>
  </si>
  <si>
    <t xml:space="preserve">Fastest CAGR in E. Africa</t>
  </si>
  <si>
    <t xml:space="preserve">PwC Africa E&amp;M 2025</t>
  </si>
  <si>
    <t xml:space="preserve">Sub-Saharan streaming growth 2024</t>
  </si>
  <si>
    <t xml:space="preserve">+34%</t>
  </si>
  <si>
    <t xml:space="preserve">YoY subscription increase</t>
  </si>
  <si>
    <t xml:space="preserve">Variety / Omdia</t>
  </si>
  <si>
    <t xml:space="preserve">Kenya Online Education Market 2024</t>
  </si>
  <si>
    <t xml:space="preserve">$68.36M</t>
  </si>
  <si>
    <t xml:space="preserve">→ $222M by 2029 (18.4% CAGR)</t>
  </si>
  <si>
    <t xml:space="preserve">Kenya Gaming Revenue 2024</t>
  </si>
  <si>
    <t xml:space="preserve">$153M</t>
  </si>
  <si>
    <t xml:space="preserve">6.9-13.3% CAGR forecast</t>
  </si>
  <si>
    <t xml:space="preserve">PwC / Mordor Intel.</t>
  </si>
  <si>
    <t xml:space="preserve">Mobile gaming share — Africa</t>
  </si>
  <si>
    <t xml:space="preserve">61.7%</t>
  </si>
  <si>
    <t xml:space="preserve">Of total gaming revenue</t>
  </si>
  <si>
    <t xml:space="preserve">Mordor Intelligence</t>
  </si>
  <si>
    <t xml:space="preserve">Gamers who spend money on games</t>
  </si>
  <si>
    <t xml:space="preserve">62%</t>
  </si>
  <si>
    <t xml:space="preserve">Of Kenyan gamers</t>
  </si>
  <si>
    <t xml:space="preserve">Atlantic Council 2024</t>
  </si>
  <si>
    <t xml:space="preserve">Kenya internet users — educational video</t>
  </si>
  <si>
    <t xml:space="preserve">35%</t>
  </si>
  <si>
    <t xml:space="preserve">Watch edu content online</t>
  </si>
  <si>
    <t xml:space="preserve">GWI / DataReportal 2023</t>
  </si>
  <si>
    <t xml:space="preserve">Section B — New Revenue Opportunity Scoring for Viusasa (0-100)</t>
  </si>
  <si>
    <t xml:space="preserve">Opportunity</t>
  </si>
  <si>
    <t xml:space="preserve">Score (0-100)</t>
  </si>
  <si>
    <t xml:space="preserve">Rating</t>
  </si>
  <si>
    <t xml:space="preserve">Viusasa Elimu (Education Pack)</t>
  </si>
  <si>
    <t xml:space="preserve">HIGH</t>
  </si>
  <si>
    <t xml:space="preserve">Market + alignment + no competition = strong fit</t>
  </si>
  <si>
    <t xml:space="preserve">Vocational Skills Pack</t>
  </si>
  <si>
    <t xml:space="preserve">Youth unemployment creates demand</t>
  </si>
  <si>
    <t xml:space="preserve">Trivia / Show-based Games</t>
  </si>
  <si>
    <t xml:space="preserve">Low cost; tied to existing Citizen TV shows</t>
  </si>
  <si>
    <t xml:space="preserve">eSports Streaming</t>
  </si>
  <si>
    <t xml:space="preserve">MEDIUM</t>
  </si>
  <si>
    <t xml:space="preserve">Citizen TV production synergy; growing market</t>
  </si>
  <si>
    <t xml:space="preserve">Gaming Distribution Hub</t>
  </si>
  <si>
    <t xml:space="preserve">Distribution model vs. game development recommended</t>
  </si>
  <si>
    <t xml:space="preserve">Section C — Kenya Digital Readiness Indicators</t>
  </si>
  <si>
    <t xml:space="preserve">Indicator</t>
  </si>
  <si>
    <t xml:space="preserve">Score / %</t>
  </si>
  <si>
    <t xml:space="preserve">Mobile Penetration</t>
  </si>
  <si>
    <t xml:space="preserve">89% of population — East Africa's highest</t>
  </si>
  <si>
    <t xml:space="preserve">M-Pesa Usage</t>
  </si>
  <si>
    <t xml:space="preserve">95% of adults; $314B+ annual transactions</t>
  </si>
  <si>
    <t xml:space="preserve">Internet Access</t>
  </si>
  <si>
    <t xml:space="preserve">58% — growing via fiber rollout</t>
  </si>
  <si>
    <t xml:space="preserve">Youth Population (U-35)</t>
  </si>
  <si>
    <t xml:space="preserve">78% of Kenya under 35 years</t>
  </si>
  <si>
    <t xml:space="preserve">Streaming Willingness</t>
  </si>
  <si>
    <t xml:space="preserve">76.5% pay for digital content — 4th globally</t>
  </si>
  <si>
    <t xml:space="preserve">Digital Literacy</t>
  </si>
  <si>
    <t xml:space="preserve">62% — CBC mandate accelerating this</t>
  </si>
  <si>
    <t xml:space="preserve">Source: CA Kenya, Safaricom Annual Report, GWI, World Bank — 2024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</si>
</sst>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1A3C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i val="true"/>
      <sz val="10"/>
      <color rgb="FFF582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C6B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1A3C6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6B"/>
        <bgColor rgb="FF333399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DEBD0"/>
        <bgColor rgb="FFF2F2F2"/>
      </patternFill>
    </fill>
    <fill>
      <patternFill patternType="solid">
        <fgColor rgb="FF2ECC71"/>
        <bgColor rgb="FF16A085"/>
      </patternFill>
    </fill>
    <fill>
      <patternFill patternType="solid">
        <fgColor rgb="FFF5821F"/>
        <bgColor rgb="FFFF6600"/>
      </patternFill>
    </fill>
    <fill>
      <patternFill patternType="solid">
        <fgColor rgb="FF16A08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DEBD0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FCC00"/>
      <rgbColor rgb="FFF5821F"/>
      <rgbColor rgb="FFFF6600"/>
      <rgbColor rgb="FF666699"/>
      <rgbColor rgb="FF969696"/>
      <rgbColor rgb="FF1A3C6B"/>
      <rgbColor rgb="FF16A085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5"/>
    <col collapsed="false" customWidth="true" hidden="false" outlineLevel="0" max="3" min="3" style="1" width="55"/>
    <col collapsed="false" customWidth="true" hidden="false" outlineLevel="0" max="4" min="4" style="1" width="20"/>
  </cols>
  <sheetData>
    <row r="2" customFormat="false" ht="36" hidden="false" customHeight="true" outlineLevel="0" collapsed="false">
      <c r="B2" s="2" t="s">
        <v>0</v>
      </c>
      <c r="C2" s="2"/>
      <c r="D2" s="2"/>
    </row>
    <row r="3" customFormat="false" ht="21.75" hidden="false" customHeight="true" outlineLevel="0" collapsed="false">
      <c r="B3" s="3" t="s">
        <v>1</v>
      </c>
      <c r="C3" s="3"/>
      <c r="D3" s="3"/>
    </row>
    <row r="5" customFormat="false" ht="21.75" hidden="false" customHeight="true" outlineLevel="0" collapsed="false">
      <c r="B5" s="4" t="s">
        <v>2</v>
      </c>
      <c r="C5" s="4" t="s">
        <v>3</v>
      </c>
      <c r="D5" s="4" t="s">
        <v>4</v>
      </c>
    </row>
    <row r="6" customFormat="false" ht="18" hidden="false" customHeight="true" outlineLevel="0" collapsed="false">
      <c r="B6" s="5" t="s">
        <v>5</v>
      </c>
      <c r="C6" s="6" t="s">
        <v>6</v>
      </c>
      <c r="D6" s="6" t="s">
        <v>7</v>
      </c>
    </row>
    <row r="7" customFormat="false" ht="18" hidden="false" customHeight="true" outlineLevel="0" collapsed="false">
      <c r="B7" s="7" t="s">
        <v>8</v>
      </c>
      <c r="C7" s="8" t="s">
        <v>9</v>
      </c>
      <c r="D7" s="8" t="s">
        <v>10</v>
      </c>
    </row>
    <row r="8" customFormat="false" ht="18" hidden="false" customHeight="true" outlineLevel="0" collapsed="false">
      <c r="B8" s="5" t="s">
        <v>11</v>
      </c>
      <c r="C8" s="6" t="s">
        <v>12</v>
      </c>
      <c r="D8" s="6" t="s">
        <v>13</v>
      </c>
    </row>
    <row r="9" customFormat="false" ht="18" hidden="false" customHeight="true" outlineLevel="0" collapsed="false">
      <c r="B9" s="7" t="s">
        <v>14</v>
      </c>
      <c r="C9" s="8" t="s">
        <v>15</v>
      </c>
      <c r="D9" s="8" t="s">
        <v>16</v>
      </c>
    </row>
    <row r="10" customFormat="false" ht="18" hidden="false" customHeight="true" outlineLevel="0" collapsed="false">
      <c r="B10" s="5" t="s">
        <v>17</v>
      </c>
      <c r="C10" s="6" t="s">
        <v>18</v>
      </c>
      <c r="D10" s="6" t="s">
        <v>19</v>
      </c>
    </row>
    <row r="11" customFormat="false" ht="18" hidden="false" customHeight="true" outlineLevel="0" collapsed="false">
      <c r="B11" s="7" t="s">
        <v>20</v>
      </c>
      <c r="C11" s="8" t="s">
        <v>21</v>
      </c>
      <c r="D11" s="8" t="s">
        <v>22</v>
      </c>
    </row>
    <row r="12" customFormat="false" ht="18" hidden="false" customHeight="true" outlineLevel="0" collapsed="false">
      <c r="B12" s="5" t="s">
        <v>23</v>
      </c>
      <c r="C12" s="6" t="s">
        <v>24</v>
      </c>
      <c r="D12" s="6" t="s">
        <v>25</v>
      </c>
    </row>
    <row r="13" customFormat="false" ht="18" hidden="false" customHeight="true" outlineLevel="0" collapsed="false">
      <c r="B13" s="7" t="s">
        <v>26</v>
      </c>
      <c r="C13" s="8" t="s">
        <v>27</v>
      </c>
      <c r="D13" s="8" t="s">
        <v>28</v>
      </c>
    </row>
    <row r="15" customFormat="false" ht="27.75" hidden="false" customHeight="true" outlineLevel="0" collapsed="false">
      <c r="B15" s="9" t="s">
        <v>29</v>
      </c>
      <c r="C15" s="9"/>
      <c r="D15" s="9"/>
    </row>
  </sheetData>
  <mergeCells count="3">
    <mergeCell ref="B2:D2"/>
    <mergeCell ref="B3:D3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6" min="2" style="1" width="22"/>
  </cols>
  <sheetData>
    <row r="2" customFormat="false" ht="27.75" hidden="false" customHeight="true" outlineLevel="0" collapsed="false">
      <c r="B2" s="10" t="s">
        <v>30</v>
      </c>
      <c r="C2" s="10"/>
      <c r="D2" s="10"/>
      <c r="E2" s="10"/>
      <c r="F2" s="10"/>
    </row>
    <row r="3" customFormat="false" ht="15" hidden="false" customHeight="true" outlineLevel="0" collapsed="false"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35</v>
      </c>
    </row>
    <row r="4" customFormat="false" ht="15" hidden="false" customHeight="true" outlineLevel="0" collapsed="false">
      <c r="B4" s="12" t="n">
        <v>2022</v>
      </c>
      <c r="C4" s="12" t="n">
        <v>47</v>
      </c>
      <c r="D4" s="13" t="n">
        <v>35</v>
      </c>
      <c r="E4" s="12"/>
      <c r="F4" s="12"/>
    </row>
    <row r="5" customFormat="false" ht="15" hidden="false" customHeight="true" outlineLevel="0" collapsed="false">
      <c r="B5" s="14" t="n">
        <v>2023</v>
      </c>
      <c r="C5" s="14" t="n">
        <v>58</v>
      </c>
      <c r="D5" s="15" t="n">
        <v>44</v>
      </c>
      <c r="E5" s="15" t="n">
        <f aca="false">(C5-C4)/C4</f>
        <v>0.234042553191489</v>
      </c>
      <c r="F5" s="14" t="n">
        <f aca="false">(D5-D4)/D4</f>
        <v>0.257142857142857</v>
      </c>
    </row>
    <row r="6" customFormat="false" ht="15" hidden="false" customHeight="true" outlineLevel="0" collapsed="false">
      <c r="B6" s="12" t="n">
        <v>2024</v>
      </c>
      <c r="C6" s="12" t="n">
        <v>73</v>
      </c>
      <c r="D6" s="13" t="n">
        <v>56</v>
      </c>
      <c r="E6" s="13" t="n">
        <f aca="false">(C6-C5)/C5</f>
        <v>0.258620689655172</v>
      </c>
      <c r="F6" s="12" t="n">
        <f aca="false">(D6-D5)/D5</f>
        <v>0.272727272727273</v>
      </c>
    </row>
    <row r="7" customFormat="false" ht="15" hidden="false" customHeight="true" outlineLevel="0" collapsed="false">
      <c r="B7" s="14" t="n">
        <v>2025</v>
      </c>
      <c r="C7" s="14" t="n">
        <v>88</v>
      </c>
      <c r="D7" s="15" t="n">
        <v>68</v>
      </c>
      <c r="E7" s="15" t="n">
        <f aca="false">(C7-C6)/C6</f>
        <v>0.205479452054795</v>
      </c>
      <c r="F7" s="14" t="n">
        <f aca="false">(D7-D6)/D6</f>
        <v>0.214285714285714</v>
      </c>
    </row>
    <row r="8" customFormat="false" ht="15" hidden="false" customHeight="true" outlineLevel="0" collapsed="false">
      <c r="B8" s="12" t="n">
        <v>2026</v>
      </c>
      <c r="C8" s="12" t="n">
        <v>104</v>
      </c>
      <c r="D8" s="13" t="n">
        <v>83</v>
      </c>
      <c r="E8" s="13" t="n">
        <f aca="false">(C8-C7)/C7</f>
        <v>0.181818181818182</v>
      </c>
      <c r="F8" s="12" t="n">
        <f aca="false">(D8-D7)/D7</f>
        <v>0.220588235294118</v>
      </c>
    </row>
    <row r="9" customFormat="false" ht="15" hidden="false" customHeight="true" outlineLevel="0" collapsed="false">
      <c r="B9" s="14" t="n">
        <v>2027</v>
      </c>
      <c r="C9" s="14" t="n">
        <v>120.6</v>
      </c>
      <c r="D9" s="15" t="n">
        <v>100.6</v>
      </c>
      <c r="E9" s="15" t="n">
        <f aca="false">(C9-C8)/C8</f>
        <v>0.159615384615385</v>
      </c>
      <c r="F9" s="14" t="n">
        <f aca="false">(D9-D8)/D8</f>
        <v>0.212048192771084</v>
      </c>
    </row>
    <row r="11" customFormat="false" ht="15" hidden="false" customHeight="true" outlineLevel="0" collapsed="false">
      <c r="B11" s="16" t="s">
        <v>36</v>
      </c>
    </row>
    <row r="13" customFormat="false" ht="27.75" hidden="false" customHeight="true" outlineLevel="0" collapsed="false">
      <c r="B13" s="10" t="s">
        <v>37</v>
      </c>
      <c r="C13" s="10"/>
      <c r="D13" s="10"/>
      <c r="E13" s="10"/>
    </row>
    <row r="14" customFormat="false" ht="15" hidden="false" customHeight="true" outlineLevel="0" collapsed="false">
      <c r="B14" s="11" t="s">
        <v>31</v>
      </c>
      <c r="C14" s="11" t="s">
        <v>38</v>
      </c>
      <c r="D14" s="11" t="s">
        <v>39</v>
      </c>
      <c r="E14" s="11" t="s">
        <v>40</v>
      </c>
    </row>
    <row r="15" customFormat="false" ht="15" hidden="false" customHeight="true" outlineLevel="0" collapsed="false">
      <c r="B15" s="12" t="n">
        <v>2024</v>
      </c>
      <c r="C15" s="13" t="n">
        <v>0.233</v>
      </c>
      <c r="D15" s="12" t="s">
        <v>41</v>
      </c>
      <c r="E15" s="12" t="s">
        <v>42</v>
      </c>
    </row>
    <row r="16" customFormat="false" ht="15" hidden="false" customHeight="true" outlineLevel="0" collapsed="false">
      <c r="B16" s="14" t="n">
        <v>2025</v>
      </c>
      <c r="C16" s="15" t="n">
        <v>0.248</v>
      </c>
      <c r="D16" s="14" t="s">
        <v>43</v>
      </c>
      <c r="E16" s="14" t="s">
        <v>44</v>
      </c>
    </row>
    <row r="17" customFormat="false" ht="15" hidden="false" customHeight="true" outlineLevel="0" collapsed="false">
      <c r="B17" s="12" t="n">
        <v>2026</v>
      </c>
      <c r="C17" s="13" t="n">
        <v>0.263</v>
      </c>
      <c r="D17" s="12" t="s">
        <v>43</v>
      </c>
      <c r="E17" s="12" t="s">
        <v>44</v>
      </c>
    </row>
    <row r="18" customFormat="false" ht="15" hidden="false" customHeight="true" outlineLevel="0" collapsed="false">
      <c r="B18" s="14" t="n">
        <v>2027</v>
      </c>
      <c r="C18" s="15" t="n">
        <v>0.28</v>
      </c>
      <c r="D18" s="14" t="s">
        <v>43</v>
      </c>
      <c r="E18" s="14" t="s">
        <v>44</v>
      </c>
    </row>
    <row r="20" customFormat="false" ht="15" hidden="false" customHeight="true" outlineLevel="0" collapsed="false">
      <c r="B20" s="16" t="s">
        <v>36</v>
      </c>
    </row>
  </sheetData>
  <mergeCells count="2">
    <mergeCell ref="B2:F2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20"/>
  </cols>
  <sheetData>
    <row r="2" customFormat="false" ht="27.75" hidden="false" customHeight="true" outlineLevel="0" collapsed="false">
      <c r="B2" s="10" t="s">
        <v>45</v>
      </c>
      <c r="C2" s="10"/>
      <c r="D2" s="10"/>
      <c r="E2" s="10"/>
    </row>
    <row r="3" customFormat="false" ht="15" hidden="false" customHeight="true" outlineLevel="0" collapsed="false">
      <c r="B3" s="11" t="s">
        <v>46</v>
      </c>
      <c r="C3" s="11" t="s">
        <v>47</v>
      </c>
      <c r="D3" s="11" t="s">
        <v>48</v>
      </c>
      <c r="E3" s="11" t="s">
        <v>40</v>
      </c>
    </row>
    <row r="4" customFormat="false" ht="15" hidden="false" customHeight="true" outlineLevel="0" collapsed="false">
      <c r="B4" s="12" t="s">
        <v>49</v>
      </c>
      <c r="C4" s="13" t="n">
        <v>0.39</v>
      </c>
      <c r="D4" s="12" t="n">
        <v>3.1</v>
      </c>
      <c r="E4" s="12" t="s">
        <v>50</v>
      </c>
    </row>
    <row r="5" customFormat="false" ht="15" hidden="false" customHeight="true" outlineLevel="0" collapsed="false">
      <c r="B5" s="14" t="s">
        <v>51</v>
      </c>
      <c r="C5" s="15" t="n">
        <v>0.335</v>
      </c>
      <c r="D5" s="14" t="n">
        <v>2.7</v>
      </c>
      <c r="E5" s="14" t="s">
        <v>52</v>
      </c>
    </row>
    <row r="6" customFormat="false" ht="15" hidden="false" customHeight="true" outlineLevel="0" collapsed="false">
      <c r="B6" s="12" t="s">
        <v>53</v>
      </c>
      <c r="C6" s="13" t="n">
        <v>0.04</v>
      </c>
      <c r="D6" s="12" t="n">
        <v>0.3</v>
      </c>
      <c r="E6" s="12" t="s">
        <v>54</v>
      </c>
    </row>
    <row r="7" customFormat="false" ht="15" hidden="false" customHeight="true" outlineLevel="0" collapsed="false">
      <c r="B7" s="14" t="s">
        <v>55</v>
      </c>
      <c r="C7" s="15" t="n">
        <v>0.235</v>
      </c>
      <c r="D7" s="14" t="n">
        <v>1.9</v>
      </c>
      <c r="E7" s="14" t="s">
        <v>56</v>
      </c>
    </row>
    <row r="9" customFormat="false" ht="15" hidden="false" customHeight="true" outlineLevel="0" collapsed="false">
      <c r="B9" s="16" t="s">
        <v>57</v>
      </c>
    </row>
    <row r="11" customFormat="false" ht="27.75" hidden="false" customHeight="true" outlineLevel="0" collapsed="false">
      <c r="B11" s="10" t="s">
        <v>58</v>
      </c>
      <c r="C11" s="10"/>
      <c r="D11" s="10"/>
      <c r="E11" s="10"/>
      <c r="F11" s="10"/>
      <c r="G11" s="10"/>
    </row>
    <row r="12" customFormat="false" ht="15" hidden="false" customHeight="true" outlineLevel="0" collapsed="false">
      <c r="B12" s="11" t="s">
        <v>46</v>
      </c>
      <c r="C12" s="17" t="s">
        <v>59</v>
      </c>
      <c r="D12" s="17" t="s">
        <v>60</v>
      </c>
      <c r="E12" s="17" t="s">
        <v>61</v>
      </c>
      <c r="F12" s="11" t="s">
        <v>39</v>
      </c>
      <c r="G12" s="11" t="s">
        <v>40</v>
      </c>
    </row>
    <row r="13" customFormat="false" ht="15" hidden="false" customHeight="true" outlineLevel="0" collapsed="false">
      <c r="B13" s="12" t="s">
        <v>49</v>
      </c>
      <c r="C13" s="12" t="n">
        <v>7</v>
      </c>
      <c r="D13" s="12" t="n">
        <v>5</v>
      </c>
      <c r="E13" s="12" t="n">
        <v>500</v>
      </c>
      <c r="F13" s="12" t="s">
        <v>62</v>
      </c>
      <c r="G13" s="12" t="s">
        <v>63</v>
      </c>
    </row>
    <row r="14" customFormat="false" ht="15" hidden="false" customHeight="true" outlineLevel="0" collapsed="false">
      <c r="B14" s="14" t="s">
        <v>51</v>
      </c>
      <c r="C14" s="14" t="n">
        <v>4</v>
      </c>
      <c r="D14" s="14" t="n">
        <v>4</v>
      </c>
      <c r="E14" s="14" t="n">
        <v>400</v>
      </c>
      <c r="F14" s="14" t="s">
        <v>62</v>
      </c>
      <c r="G14" s="14" t="s">
        <v>64</v>
      </c>
    </row>
    <row r="15" customFormat="false" ht="15" hidden="false" customHeight="true" outlineLevel="0" collapsed="false">
      <c r="B15" s="12" t="s">
        <v>65</v>
      </c>
      <c r="C15" s="12" t="n">
        <v>10</v>
      </c>
      <c r="D15" s="12" t="n">
        <v>9</v>
      </c>
      <c r="E15" s="12" t="n">
        <v>200</v>
      </c>
      <c r="F15" s="12" t="s">
        <v>62</v>
      </c>
      <c r="G15" s="12" t="s">
        <v>66</v>
      </c>
    </row>
    <row r="16" customFormat="false" ht="15" hidden="false" customHeight="true" outlineLevel="0" collapsed="false">
      <c r="B16" s="14" t="s">
        <v>67</v>
      </c>
      <c r="C16" s="14" t="n">
        <v>6</v>
      </c>
      <c r="D16" s="14" t="n">
        <v>10</v>
      </c>
      <c r="E16" s="14" t="n">
        <v>900</v>
      </c>
      <c r="F16" s="14" t="s">
        <v>68</v>
      </c>
      <c r="G16" s="14" t="s">
        <v>69</v>
      </c>
    </row>
    <row r="17" customFormat="false" ht="15" hidden="false" customHeight="true" outlineLevel="0" collapsed="false">
      <c r="B17" s="12" t="s">
        <v>70</v>
      </c>
      <c r="C17" s="12" t="n">
        <v>3</v>
      </c>
      <c r="D17" s="12" t="n">
        <v>7</v>
      </c>
      <c r="E17" s="12" t="n">
        <v>100</v>
      </c>
      <c r="F17" s="12" t="s">
        <v>62</v>
      </c>
      <c r="G17" s="12" t="s">
        <v>71</v>
      </c>
    </row>
    <row r="18" customFormat="false" ht="15" hidden="false" customHeight="true" outlineLevel="0" collapsed="false">
      <c r="B18" s="14" t="s">
        <v>72</v>
      </c>
      <c r="C18" s="14" t="n">
        <v>7</v>
      </c>
      <c r="D18" s="14" t="n">
        <v>8</v>
      </c>
      <c r="E18" s="14" t="n">
        <v>80</v>
      </c>
      <c r="F18" s="14" t="s">
        <v>62</v>
      </c>
      <c r="G18" s="14" t="s">
        <v>73</v>
      </c>
    </row>
    <row r="20" customFormat="false" ht="15" hidden="false" customHeight="true" outlineLevel="0" collapsed="false">
      <c r="B20" s="16" t="s">
        <v>74</v>
      </c>
    </row>
  </sheetData>
  <mergeCells count="2">
    <mergeCell ref="B2:E2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6" min="2" style="1" width="25"/>
  </cols>
  <sheetData>
    <row r="2" customFormat="false" ht="27.75" hidden="false" customHeight="true" outlineLevel="0" collapsed="false">
      <c r="B2" s="10" t="s">
        <v>75</v>
      </c>
      <c r="C2" s="10"/>
      <c r="D2" s="10"/>
      <c r="E2" s="10"/>
      <c r="F2" s="10"/>
    </row>
    <row r="3" customFormat="false" ht="15" hidden="false" customHeight="true" outlineLevel="0" collapsed="false">
      <c r="B3" s="11" t="s">
        <v>76</v>
      </c>
      <c r="C3" s="11" t="s">
        <v>65</v>
      </c>
      <c r="D3" s="11" t="s">
        <v>49</v>
      </c>
      <c r="E3" s="11" t="s">
        <v>51</v>
      </c>
      <c r="F3" s="11" t="s">
        <v>40</v>
      </c>
    </row>
    <row r="4" customFormat="false" ht="15" hidden="false" customHeight="true" outlineLevel="0" collapsed="false">
      <c r="B4" s="12" t="s">
        <v>77</v>
      </c>
      <c r="C4" s="18" t="n">
        <v>10</v>
      </c>
      <c r="D4" s="12" t="n">
        <v>8</v>
      </c>
      <c r="E4" s="12" t="n">
        <v>5</v>
      </c>
      <c r="F4" s="12" t="s">
        <v>78</v>
      </c>
    </row>
    <row r="5" customFormat="false" ht="15" hidden="false" customHeight="true" outlineLevel="0" collapsed="false">
      <c r="B5" s="14" t="s">
        <v>79</v>
      </c>
      <c r="C5" s="18" t="n">
        <v>9</v>
      </c>
      <c r="D5" s="14" t="n">
        <v>6</v>
      </c>
      <c r="E5" s="14" t="n">
        <v>4</v>
      </c>
      <c r="F5" s="14" t="s">
        <v>80</v>
      </c>
    </row>
    <row r="6" customFormat="false" ht="15" hidden="false" customHeight="true" outlineLevel="0" collapsed="false">
      <c r="B6" s="12" t="s">
        <v>81</v>
      </c>
      <c r="C6" s="18" t="n">
        <v>10</v>
      </c>
      <c r="D6" s="12" t="n">
        <v>8</v>
      </c>
      <c r="E6" s="12" t="n">
        <v>2</v>
      </c>
      <c r="F6" s="12" t="s">
        <v>82</v>
      </c>
    </row>
    <row r="7" customFormat="false" ht="15" hidden="false" customHeight="true" outlineLevel="0" collapsed="false">
      <c r="B7" s="14" t="s">
        <v>83</v>
      </c>
      <c r="C7" s="18" t="n">
        <v>10</v>
      </c>
      <c r="D7" s="14" t="n">
        <v>5</v>
      </c>
      <c r="E7" s="14" t="n">
        <v>2</v>
      </c>
      <c r="F7" s="14" t="s">
        <v>84</v>
      </c>
    </row>
    <row r="8" customFormat="false" ht="15" hidden="false" customHeight="true" outlineLevel="0" collapsed="false">
      <c r="B8" s="12" t="s">
        <v>85</v>
      </c>
      <c r="C8" s="12" t="n">
        <v>5</v>
      </c>
      <c r="D8" s="12" t="n">
        <v>8</v>
      </c>
      <c r="E8" s="18" t="n">
        <v>10</v>
      </c>
      <c r="F8" s="12" t="s">
        <v>86</v>
      </c>
    </row>
    <row r="9" customFormat="false" ht="15" hidden="false" customHeight="true" outlineLevel="0" collapsed="false">
      <c r="B9" s="14" t="s">
        <v>87</v>
      </c>
      <c r="C9" s="14" t="n">
        <v>5</v>
      </c>
      <c r="D9" s="14" t="n">
        <v>8</v>
      </c>
      <c r="E9" s="18" t="n">
        <v>10</v>
      </c>
      <c r="F9" s="14" t="s">
        <v>88</v>
      </c>
    </row>
    <row r="10" customFormat="false" ht="15" hidden="false" customHeight="true" outlineLevel="0" collapsed="false">
      <c r="B10" s="12" t="s">
        <v>89</v>
      </c>
      <c r="C10" s="12" t="n">
        <v>4</v>
      </c>
      <c r="D10" s="18" t="n">
        <v>10</v>
      </c>
      <c r="E10" s="12" t="n">
        <v>3</v>
      </c>
      <c r="F10" s="12" t="s">
        <v>90</v>
      </c>
    </row>
    <row r="12" customFormat="false" ht="15" hidden="false" customHeight="true" outlineLevel="0" collapsed="false">
      <c r="B12" s="16" t="s">
        <v>91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10" min="2" style="1" width="18"/>
  </cols>
  <sheetData>
    <row r="2" customFormat="false" ht="27.75" hidden="false" customHeight="true" outlineLevel="0" collapsed="false">
      <c r="B2" s="10" t="s">
        <v>92</v>
      </c>
      <c r="C2" s="10"/>
      <c r="D2" s="10"/>
    </row>
    <row r="3" customFormat="false" ht="15" hidden="false" customHeight="true" outlineLevel="0" collapsed="false">
      <c r="B3" s="11" t="s">
        <v>93</v>
      </c>
      <c r="C3" s="11" t="s">
        <v>94</v>
      </c>
      <c r="D3" s="11" t="s">
        <v>39</v>
      </c>
    </row>
    <row r="4" customFormat="false" ht="15" hidden="false" customHeight="true" outlineLevel="0" collapsed="false">
      <c r="B4" s="12" t="s">
        <v>95</v>
      </c>
      <c r="C4" s="19" t="n">
        <v>0.63</v>
      </c>
      <c r="D4" s="12" t="s">
        <v>96</v>
      </c>
    </row>
    <row r="5" customFormat="false" ht="15" hidden="false" customHeight="true" outlineLevel="0" collapsed="false">
      <c r="B5" s="14" t="s">
        <v>97</v>
      </c>
      <c r="C5" s="19" t="n">
        <v>0.55</v>
      </c>
      <c r="D5" s="14" t="s">
        <v>96</v>
      </c>
    </row>
    <row r="6" customFormat="false" ht="15" hidden="false" customHeight="true" outlineLevel="0" collapsed="false">
      <c r="B6" s="12" t="s">
        <v>98</v>
      </c>
      <c r="C6" s="19" t="n">
        <v>0.45</v>
      </c>
      <c r="D6" s="12" t="s">
        <v>96</v>
      </c>
    </row>
    <row r="7" customFormat="false" ht="15" hidden="false" customHeight="true" outlineLevel="0" collapsed="false">
      <c r="B7" s="14" t="s">
        <v>99</v>
      </c>
      <c r="C7" s="19" t="n">
        <v>0.4</v>
      </c>
      <c r="D7" s="14" t="s">
        <v>96</v>
      </c>
    </row>
    <row r="8" customFormat="false" ht="15" hidden="false" customHeight="true" outlineLevel="0" collapsed="false">
      <c r="B8" s="12" t="s">
        <v>100</v>
      </c>
      <c r="C8" s="20" t="n">
        <v>0.35</v>
      </c>
      <c r="D8" s="12" t="s">
        <v>101</v>
      </c>
    </row>
    <row r="9" customFormat="false" ht="15" hidden="false" customHeight="true" outlineLevel="0" collapsed="false">
      <c r="B9" s="14" t="s">
        <v>102</v>
      </c>
      <c r="C9" s="21" t="n">
        <v>0.32</v>
      </c>
      <c r="D9" s="14" t="s">
        <v>101</v>
      </c>
    </row>
    <row r="10" customFormat="false" ht="15" hidden="false" customHeight="true" outlineLevel="0" collapsed="false">
      <c r="B10" s="12" t="s">
        <v>89</v>
      </c>
      <c r="C10" s="20" t="n">
        <v>0.3</v>
      </c>
      <c r="D10" s="12" t="s">
        <v>101</v>
      </c>
    </row>
    <row r="11" customFormat="false" ht="15" hidden="false" customHeight="true" outlineLevel="0" collapsed="false">
      <c r="B11" s="14" t="s">
        <v>103</v>
      </c>
      <c r="C11" s="21" t="n">
        <v>0.25</v>
      </c>
      <c r="D11" s="14" t="s">
        <v>101</v>
      </c>
    </row>
    <row r="12" customFormat="false" ht="15" hidden="false" customHeight="true" outlineLevel="0" collapsed="false">
      <c r="B12" s="12" t="s">
        <v>104</v>
      </c>
      <c r="C12" s="20" t="n">
        <v>0.22</v>
      </c>
      <c r="D12" s="12" t="s">
        <v>101</v>
      </c>
    </row>
    <row r="14" customFormat="false" ht="15" hidden="false" customHeight="true" outlineLevel="0" collapsed="false">
      <c r="B14" s="16" t="s">
        <v>105</v>
      </c>
    </row>
    <row r="16" customFormat="false" ht="27.75" hidden="false" customHeight="true" outlineLevel="0" collapsed="false">
      <c r="B16" s="10" t="s">
        <v>106</v>
      </c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true" outlineLevel="0" collapsed="false">
      <c r="B17" s="11" t="s">
        <v>46</v>
      </c>
      <c r="C17" s="11" t="s">
        <v>107</v>
      </c>
      <c r="D17" s="11" t="s">
        <v>108</v>
      </c>
      <c r="E17" s="11" t="s">
        <v>109</v>
      </c>
      <c r="F17" s="11" t="s">
        <v>110</v>
      </c>
      <c r="G17" s="11" t="s">
        <v>111</v>
      </c>
      <c r="H17" s="11" t="s">
        <v>89</v>
      </c>
      <c r="I17" s="11" t="s">
        <v>112</v>
      </c>
      <c r="J17" s="11" t="s">
        <v>113</v>
      </c>
    </row>
    <row r="18" customFormat="false" ht="15" hidden="false" customHeight="true" outlineLevel="0" collapsed="false">
      <c r="B18" s="22" t="s">
        <v>65</v>
      </c>
      <c r="C18" s="20" t="n">
        <v>0.35</v>
      </c>
      <c r="D18" s="20" t="n">
        <v>0.2</v>
      </c>
      <c r="E18" s="20" t="n">
        <v>0.15</v>
      </c>
      <c r="F18" s="20" t="n">
        <v>0.2</v>
      </c>
      <c r="G18" s="20" t="n">
        <v>0.03</v>
      </c>
      <c r="H18" s="20" t="n">
        <v>0.02</v>
      </c>
      <c r="I18" s="20" t="n">
        <v>0.05</v>
      </c>
      <c r="J18" s="23"/>
      <c r="K18" s="24" t="n">
        <f aca="false">SUM(C18:I18)</f>
        <v>1</v>
      </c>
    </row>
    <row r="19" customFormat="false" ht="15" hidden="false" customHeight="true" outlineLevel="0" collapsed="false">
      <c r="B19" s="25" t="s">
        <v>49</v>
      </c>
      <c r="C19" s="21" t="n">
        <v>0.25</v>
      </c>
      <c r="D19" s="21" t="n">
        <v>0.1</v>
      </c>
      <c r="E19" s="21" t="n">
        <v>0.03</v>
      </c>
      <c r="F19" s="21" t="n">
        <v>0.05</v>
      </c>
      <c r="G19" s="21" t="n">
        <v>0.25</v>
      </c>
      <c r="H19" s="21" t="n">
        <v>0.2</v>
      </c>
      <c r="I19" s="21" t="n">
        <v>0.12</v>
      </c>
      <c r="J19" s="23"/>
      <c r="K19" s="24" t="n">
        <f aca="false">SUM(C19:I19)</f>
        <v>1</v>
      </c>
    </row>
    <row r="20" customFormat="false" ht="15" hidden="false" customHeight="true" outlineLevel="0" collapsed="false">
      <c r="B20" s="22" t="s">
        <v>51</v>
      </c>
      <c r="C20" s="20" t="n">
        <v>0.1</v>
      </c>
      <c r="D20" s="20" t="n">
        <v>0.1</v>
      </c>
      <c r="E20" s="20" t="n">
        <v>0.02</v>
      </c>
      <c r="F20" s="20" t="n">
        <v>0.03</v>
      </c>
      <c r="G20" s="20" t="n">
        <v>0.5</v>
      </c>
      <c r="H20" s="20" t="n">
        <v>0.05</v>
      </c>
      <c r="I20" s="20" t="n">
        <v>0.2</v>
      </c>
      <c r="J20" s="23"/>
      <c r="K20" s="24" t="n">
        <f aca="false">SUM(C20:I20)</f>
        <v>1</v>
      </c>
    </row>
    <row r="21" customFormat="false" ht="15" hidden="false" customHeight="true" outlineLevel="0" collapsed="false">
      <c r="B21" s="25" t="s">
        <v>114</v>
      </c>
      <c r="C21" s="21" t="n">
        <v>0.15</v>
      </c>
      <c r="D21" s="21" t="n">
        <v>0.25</v>
      </c>
      <c r="E21" s="21" t="n">
        <v>0.08</v>
      </c>
      <c r="F21" s="21" t="n">
        <v>0.25</v>
      </c>
      <c r="G21" s="21" t="n">
        <v>0.12</v>
      </c>
      <c r="H21" s="21" t="n">
        <v>0.05</v>
      </c>
      <c r="I21" s="21" t="n">
        <v>0.1</v>
      </c>
      <c r="J21" s="23"/>
      <c r="K21" s="24" t="n">
        <f aca="false">SUM(C21:I21)</f>
        <v>1</v>
      </c>
    </row>
    <row r="23" customFormat="false" ht="15" hidden="false" customHeight="true" outlineLevel="0" collapsed="false">
      <c r="B23" s="16" t="s">
        <v>115</v>
      </c>
    </row>
  </sheetData>
  <mergeCells count="2">
    <mergeCell ref="B2:D2"/>
    <mergeCell ref="B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6" min="2" style="1" width="25"/>
  </cols>
  <sheetData>
    <row r="2" customFormat="false" ht="27.75" hidden="false" customHeight="true" outlineLevel="0" collapsed="false">
      <c r="B2" s="10" t="s">
        <v>116</v>
      </c>
      <c r="C2" s="10"/>
      <c r="D2" s="10"/>
      <c r="E2" s="10"/>
      <c r="F2" s="10"/>
    </row>
    <row r="3" customFormat="false" ht="15" hidden="false" customHeight="true" outlineLevel="0" collapsed="false">
      <c r="B3" s="11" t="s">
        <v>31</v>
      </c>
      <c r="C3" s="11" t="s">
        <v>117</v>
      </c>
      <c r="D3" s="11" t="s">
        <v>118</v>
      </c>
      <c r="E3" s="11" t="s">
        <v>39</v>
      </c>
      <c r="F3" s="11" t="s">
        <v>40</v>
      </c>
    </row>
    <row r="4" customFormat="false" ht="15" hidden="false" customHeight="true" outlineLevel="0" collapsed="false">
      <c r="B4" s="12" t="n">
        <v>2021</v>
      </c>
      <c r="C4" s="12" t="n">
        <v>118</v>
      </c>
      <c r="D4" s="12"/>
      <c r="E4" s="12" t="s">
        <v>41</v>
      </c>
      <c r="F4" s="12" t="s">
        <v>119</v>
      </c>
    </row>
    <row r="5" customFormat="false" ht="15" hidden="false" customHeight="true" outlineLevel="0" collapsed="false">
      <c r="B5" s="14" t="n">
        <v>2022</v>
      </c>
      <c r="C5" s="14" t="n">
        <v>127</v>
      </c>
      <c r="D5" s="15" t="n">
        <f aca="false">(C5-C4)/C4</f>
        <v>0.076271186440678</v>
      </c>
      <c r="E5" s="14" t="s">
        <v>41</v>
      </c>
      <c r="F5" s="14" t="s">
        <v>120</v>
      </c>
    </row>
    <row r="6" customFormat="false" ht="15" hidden="false" customHeight="true" outlineLevel="0" collapsed="false">
      <c r="B6" s="12" t="n">
        <v>2023</v>
      </c>
      <c r="C6" s="12" t="n">
        <v>140</v>
      </c>
      <c r="D6" s="13" t="n">
        <f aca="false">(C6-C5)/C5</f>
        <v>0.102362204724409</v>
      </c>
      <c r="E6" s="12" t="s">
        <v>41</v>
      </c>
      <c r="F6" s="12" t="s">
        <v>120</v>
      </c>
    </row>
    <row r="7" customFormat="false" ht="15" hidden="false" customHeight="true" outlineLevel="0" collapsed="false">
      <c r="B7" s="14" t="n">
        <v>2024</v>
      </c>
      <c r="C7" s="14" t="n">
        <v>153</v>
      </c>
      <c r="D7" s="15" t="n">
        <f aca="false">(C7-C6)/C6</f>
        <v>0.0928571428571429</v>
      </c>
      <c r="E7" s="14" t="s">
        <v>41</v>
      </c>
      <c r="F7" s="14" t="s">
        <v>121</v>
      </c>
    </row>
    <row r="8" customFormat="false" ht="15" hidden="false" customHeight="true" outlineLevel="0" collapsed="false">
      <c r="B8" s="12" t="n">
        <v>2025</v>
      </c>
      <c r="C8" s="12" t="n">
        <v>164</v>
      </c>
      <c r="D8" s="13" t="n">
        <f aca="false">(C8-C7)/C7</f>
        <v>0.0718954248366013</v>
      </c>
      <c r="E8" s="12" t="s">
        <v>43</v>
      </c>
      <c r="F8" s="12" t="s">
        <v>122</v>
      </c>
    </row>
    <row r="9" customFormat="false" ht="15" hidden="false" customHeight="true" outlineLevel="0" collapsed="false">
      <c r="B9" s="14" t="n">
        <v>2026</v>
      </c>
      <c r="C9" s="14" t="n">
        <v>175</v>
      </c>
      <c r="D9" s="15" t="n">
        <f aca="false">(C9-C8)/C8</f>
        <v>0.0670731707317073</v>
      </c>
      <c r="E9" s="14" t="s">
        <v>43</v>
      </c>
      <c r="F9" s="14" t="s">
        <v>122</v>
      </c>
    </row>
    <row r="10" customFormat="false" ht="15" hidden="false" customHeight="true" outlineLevel="0" collapsed="false">
      <c r="B10" s="12" t="n">
        <v>2027</v>
      </c>
      <c r="C10" s="12" t="n">
        <v>187</v>
      </c>
      <c r="D10" s="13" t="n">
        <f aca="false">(C10-C9)/C9</f>
        <v>0.0685714285714286</v>
      </c>
      <c r="E10" s="12" t="s">
        <v>43</v>
      </c>
      <c r="F10" s="12" t="s">
        <v>122</v>
      </c>
    </row>
    <row r="12" customFormat="false" ht="15" hidden="false" customHeight="true" outlineLevel="0" collapsed="false">
      <c r="B12" s="16" t="s">
        <v>123</v>
      </c>
    </row>
    <row r="14" customFormat="false" ht="27.75" hidden="false" customHeight="true" outlineLevel="0" collapsed="false">
      <c r="B14" s="10" t="s">
        <v>124</v>
      </c>
      <c r="C14" s="10"/>
      <c r="D14" s="10"/>
    </row>
    <row r="15" customFormat="false" ht="15" hidden="false" customHeight="true" outlineLevel="0" collapsed="false">
      <c r="B15" s="11" t="s">
        <v>125</v>
      </c>
      <c r="C15" s="11" t="s">
        <v>126</v>
      </c>
      <c r="D15" s="11" t="s">
        <v>40</v>
      </c>
    </row>
    <row r="16" customFormat="false" ht="15" hidden="false" customHeight="true" outlineLevel="0" collapsed="false">
      <c r="B16" s="12" t="s">
        <v>127</v>
      </c>
      <c r="C16" s="20" t="n">
        <v>0.52</v>
      </c>
      <c r="D16" s="12" t="s">
        <v>128</v>
      </c>
    </row>
    <row r="17" customFormat="false" ht="15" hidden="false" customHeight="true" outlineLevel="0" collapsed="false">
      <c r="B17" s="14" t="s">
        <v>129</v>
      </c>
      <c r="C17" s="21" t="n">
        <v>0.22</v>
      </c>
      <c r="D17" s="14" t="s">
        <v>130</v>
      </c>
    </row>
    <row r="18" customFormat="false" ht="15" hidden="false" customHeight="true" outlineLevel="0" collapsed="false">
      <c r="B18" s="12" t="s">
        <v>131</v>
      </c>
      <c r="C18" s="20" t="n">
        <v>0.12</v>
      </c>
      <c r="D18" s="12" t="s">
        <v>132</v>
      </c>
    </row>
    <row r="19" customFormat="false" ht="15" hidden="false" customHeight="true" outlineLevel="0" collapsed="false">
      <c r="B19" s="14" t="s">
        <v>133</v>
      </c>
      <c r="C19" s="21" t="n">
        <v>0.08</v>
      </c>
      <c r="D19" s="14" t="s">
        <v>134</v>
      </c>
    </row>
    <row r="20" customFormat="false" ht="15" hidden="false" customHeight="true" outlineLevel="0" collapsed="false">
      <c r="B20" s="12" t="s">
        <v>135</v>
      </c>
      <c r="C20" s="20" t="n">
        <v>0.06</v>
      </c>
      <c r="D20" s="12" t="s">
        <v>136</v>
      </c>
    </row>
    <row r="22" customFormat="false" ht="27.75" hidden="false" customHeight="true" outlineLevel="0" collapsed="false">
      <c r="B22" s="10" t="s">
        <v>137</v>
      </c>
      <c r="C22" s="10"/>
      <c r="D22" s="10"/>
    </row>
    <row r="23" customFormat="false" ht="15" hidden="false" customHeight="true" outlineLevel="0" collapsed="false">
      <c r="B23" s="11" t="s">
        <v>138</v>
      </c>
      <c r="C23" s="11" t="s">
        <v>139</v>
      </c>
      <c r="D23" s="11" t="s">
        <v>40</v>
      </c>
    </row>
    <row r="24" customFormat="false" ht="15" hidden="false" customHeight="true" outlineLevel="0" collapsed="false">
      <c r="B24" s="12" t="s">
        <v>140</v>
      </c>
      <c r="C24" s="18" t="n">
        <v>85</v>
      </c>
      <c r="D24" s="12" t="s">
        <v>141</v>
      </c>
    </row>
    <row r="25" customFormat="false" ht="15" hidden="false" customHeight="true" outlineLevel="0" collapsed="false">
      <c r="B25" s="14" t="s">
        <v>142</v>
      </c>
      <c r="C25" s="14" t="n">
        <v>70</v>
      </c>
      <c r="D25" s="14" t="s">
        <v>143</v>
      </c>
    </row>
    <row r="26" customFormat="false" ht="15" hidden="false" customHeight="true" outlineLevel="0" collapsed="false">
      <c r="B26" s="12" t="s">
        <v>144</v>
      </c>
      <c r="C26" s="12" t="n">
        <v>65</v>
      </c>
      <c r="D26" s="12" t="s">
        <v>145</v>
      </c>
    </row>
    <row r="27" customFormat="false" ht="15" hidden="false" customHeight="true" outlineLevel="0" collapsed="false">
      <c r="B27" s="14" t="s">
        <v>146</v>
      </c>
      <c r="C27" s="14" t="n">
        <v>60</v>
      </c>
      <c r="D27" s="14" t="s">
        <v>147</v>
      </c>
    </row>
    <row r="28" customFormat="false" ht="15" hidden="false" customHeight="true" outlineLevel="0" collapsed="false">
      <c r="B28" s="12" t="s">
        <v>148</v>
      </c>
      <c r="C28" s="12" t="n">
        <v>45</v>
      </c>
      <c r="D28" s="12" t="s">
        <v>149</v>
      </c>
    </row>
    <row r="29" customFormat="false" ht="15" hidden="false" customHeight="true" outlineLevel="0" collapsed="false">
      <c r="B29" s="14" t="s">
        <v>150</v>
      </c>
      <c r="C29" s="14" t="n">
        <v>35</v>
      </c>
      <c r="D29" s="14" t="s">
        <v>151</v>
      </c>
    </row>
    <row r="31" customFormat="false" ht="15" hidden="false" customHeight="true" outlineLevel="0" collapsed="false">
      <c r="B31" s="16" t="s">
        <v>152</v>
      </c>
    </row>
  </sheetData>
  <mergeCells count="3">
    <mergeCell ref="B2:F2"/>
    <mergeCell ref="B14:D14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3" min="3" style="1" width="18"/>
    <col collapsed="false" customWidth="true" hidden="false" outlineLevel="0" max="4" min="4" style="1" width="55"/>
    <col collapsed="false" customWidth="true" hidden="false" outlineLevel="0" max="6" min="5" style="1" width="28"/>
  </cols>
  <sheetData>
    <row r="2" customFormat="false" ht="27.75" hidden="false" customHeight="true" outlineLevel="0" collapsed="false">
      <c r="B2" s="10" t="s">
        <v>153</v>
      </c>
      <c r="C2" s="10"/>
      <c r="D2" s="10"/>
      <c r="E2" s="10"/>
      <c r="F2" s="10"/>
    </row>
    <row r="3" customFormat="false" ht="15" hidden="false" customHeight="true" outlineLevel="0" collapsed="false">
      <c r="B3" s="11" t="s">
        <v>31</v>
      </c>
      <c r="C3" s="11" t="s">
        <v>154</v>
      </c>
      <c r="D3" s="11" t="s">
        <v>118</v>
      </c>
      <c r="E3" s="17" t="s">
        <v>155</v>
      </c>
      <c r="F3" s="11" t="s">
        <v>39</v>
      </c>
    </row>
    <row r="4" customFormat="false" ht="15" hidden="false" customHeight="true" outlineLevel="0" collapsed="false">
      <c r="B4" s="12" t="n">
        <v>2022</v>
      </c>
      <c r="C4" s="12" t="n">
        <v>41</v>
      </c>
      <c r="D4" s="12"/>
      <c r="E4" s="20" t="n">
        <v>0.27</v>
      </c>
      <c r="F4" s="12" t="s">
        <v>41</v>
      </c>
    </row>
    <row r="5" customFormat="false" ht="15" hidden="false" customHeight="true" outlineLevel="0" collapsed="false">
      <c r="B5" s="14" t="n">
        <v>2023</v>
      </c>
      <c r="C5" s="14" t="n">
        <v>52</v>
      </c>
      <c r="D5" s="15" t="n">
        <f aca="false">(C5-C4)/C4</f>
        <v>0.268292682926829</v>
      </c>
      <c r="E5" s="21" t="n">
        <v>0.31</v>
      </c>
      <c r="F5" s="14" t="s">
        <v>41</v>
      </c>
    </row>
    <row r="6" customFormat="false" ht="15" hidden="false" customHeight="true" outlineLevel="0" collapsed="false">
      <c r="B6" s="12" t="n">
        <v>2024</v>
      </c>
      <c r="C6" s="12" t="n">
        <v>68</v>
      </c>
      <c r="D6" s="13" t="n">
        <f aca="false">(C6-C5)/C5</f>
        <v>0.307692307692308</v>
      </c>
      <c r="E6" s="20" t="n">
        <v>0.35</v>
      </c>
      <c r="F6" s="12" t="s">
        <v>41</v>
      </c>
    </row>
    <row r="7" customFormat="false" ht="15" hidden="false" customHeight="true" outlineLevel="0" collapsed="false">
      <c r="B7" s="14" t="n">
        <v>2025</v>
      </c>
      <c r="C7" s="14" t="n">
        <v>81</v>
      </c>
      <c r="D7" s="15" t="n">
        <f aca="false">(C7-C6)/C6</f>
        <v>0.191176470588235</v>
      </c>
      <c r="E7" s="21" t="n">
        <v>0.39</v>
      </c>
      <c r="F7" s="14" t="s">
        <v>43</v>
      </c>
    </row>
    <row r="8" customFormat="false" ht="15" hidden="false" customHeight="true" outlineLevel="0" collapsed="false">
      <c r="B8" s="12" t="n">
        <v>2026</v>
      </c>
      <c r="C8" s="12" t="n">
        <v>96</v>
      </c>
      <c r="D8" s="13" t="n">
        <f aca="false">(C8-C7)/C7</f>
        <v>0.185185185185185</v>
      </c>
      <c r="E8" s="20" t="n">
        <v>0.43</v>
      </c>
      <c r="F8" s="12" t="s">
        <v>43</v>
      </c>
    </row>
    <row r="9" customFormat="false" ht="15" hidden="false" customHeight="true" outlineLevel="0" collapsed="false">
      <c r="B9" s="14" t="n">
        <v>2027</v>
      </c>
      <c r="C9" s="14" t="n">
        <v>114</v>
      </c>
      <c r="D9" s="15" t="n">
        <f aca="false">(C9-C8)/C8</f>
        <v>0.1875</v>
      </c>
      <c r="E9" s="21" t="n">
        <v>0.47</v>
      </c>
      <c r="F9" s="14" t="s">
        <v>43</v>
      </c>
    </row>
    <row r="10" customFormat="false" ht="15" hidden="false" customHeight="true" outlineLevel="0" collapsed="false">
      <c r="B10" s="12" t="n">
        <v>2028</v>
      </c>
      <c r="C10" s="12" t="n">
        <v>157</v>
      </c>
      <c r="D10" s="13" t="n">
        <f aca="false">(C10-C9)/C9</f>
        <v>0.37719298245614</v>
      </c>
      <c r="E10" s="20" t="n">
        <v>0.52</v>
      </c>
      <c r="F10" s="12" t="s">
        <v>43</v>
      </c>
    </row>
    <row r="11" customFormat="false" ht="15" hidden="false" customHeight="true" outlineLevel="0" collapsed="false">
      <c r="B11" s="14" t="n">
        <v>2029</v>
      </c>
      <c r="C11" s="14" t="n">
        <v>222</v>
      </c>
      <c r="D11" s="15" t="n">
        <f aca="false">(C11-C10)/C10</f>
        <v>0.414012738853503</v>
      </c>
      <c r="E11" s="21" t="n">
        <v>0.57</v>
      </c>
      <c r="F11" s="14" t="s">
        <v>156</v>
      </c>
    </row>
    <row r="13" customFormat="false" ht="15" hidden="false" customHeight="true" outlineLevel="0" collapsed="false">
      <c r="B13" s="16" t="s">
        <v>157</v>
      </c>
    </row>
    <row r="15" customFormat="false" ht="27.75" hidden="false" customHeight="true" outlineLevel="0" collapsed="false">
      <c r="B15" s="10" t="s">
        <v>158</v>
      </c>
      <c r="C15" s="10"/>
      <c r="D15" s="10"/>
    </row>
    <row r="16" customFormat="false" ht="15" hidden="false" customHeight="true" outlineLevel="0" collapsed="false">
      <c r="B16" s="11" t="s">
        <v>159</v>
      </c>
      <c r="C16" s="11" t="s">
        <v>160</v>
      </c>
      <c r="D16" s="11" t="s">
        <v>40</v>
      </c>
    </row>
    <row r="17" customFormat="false" ht="15" hidden="false" customHeight="true" outlineLevel="0" collapsed="false">
      <c r="B17" s="12" t="s">
        <v>161</v>
      </c>
      <c r="C17" s="18" t="n">
        <v>88</v>
      </c>
      <c r="D17" s="12" t="s">
        <v>162</v>
      </c>
    </row>
    <row r="18" customFormat="false" ht="15" hidden="false" customHeight="true" outlineLevel="0" collapsed="false">
      <c r="B18" s="14" t="s">
        <v>163</v>
      </c>
      <c r="C18" s="14" t="n">
        <v>75</v>
      </c>
      <c r="D18" s="14" t="s">
        <v>164</v>
      </c>
    </row>
    <row r="19" customFormat="false" ht="15" hidden="false" customHeight="true" outlineLevel="0" collapsed="false">
      <c r="B19" s="12" t="s">
        <v>165</v>
      </c>
      <c r="C19" s="12" t="n">
        <v>70</v>
      </c>
      <c r="D19" s="12" t="s">
        <v>166</v>
      </c>
    </row>
    <row r="20" customFormat="false" ht="15" hidden="false" customHeight="true" outlineLevel="0" collapsed="false">
      <c r="B20" s="14" t="s">
        <v>167</v>
      </c>
      <c r="C20" s="14" t="n">
        <v>65</v>
      </c>
      <c r="D20" s="14" t="s">
        <v>168</v>
      </c>
    </row>
    <row r="21" customFormat="false" ht="15" hidden="false" customHeight="true" outlineLevel="0" collapsed="false">
      <c r="B21" s="12" t="s">
        <v>169</v>
      </c>
      <c r="C21" s="12" t="n">
        <v>60</v>
      </c>
      <c r="D21" s="12" t="s">
        <v>170</v>
      </c>
    </row>
    <row r="22" customFormat="false" ht="15" hidden="false" customHeight="true" outlineLevel="0" collapsed="false">
      <c r="B22" s="14" t="s">
        <v>171</v>
      </c>
      <c r="C22" s="14" t="n">
        <v>50</v>
      </c>
      <c r="D22" s="14" t="s">
        <v>172</v>
      </c>
    </row>
    <row r="23" customFormat="false" ht="15" hidden="false" customHeight="true" outlineLevel="0" collapsed="false">
      <c r="B23" s="12" t="s">
        <v>173</v>
      </c>
      <c r="C23" s="12" t="n">
        <v>40</v>
      </c>
      <c r="D23" s="12" t="s">
        <v>174</v>
      </c>
    </row>
    <row r="25" customFormat="false" ht="15" hidden="false" customHeight="true" outlineLevel="0" collapsed="false">
      <c r="B25" s="16" t="s">
        <v>175</v>
      </c>
    </row>
  </sheetData>
  <mergeCells count="2">
    <mergeCell ref="B2:F2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8" min="2" style="1" width="22"/>
  </cols>
  <sheetData>
    <row r="2" customFormat="false" ht="27.75" hidden="false" customHeight="true" outlineLevel="0" collapsed="false">
      <c r="B2" s="10" t="s">
        <v>176</v>
      </c>
      <c r="C2" s="10"/>
      <c r="D2" s="10"/>
      <c r="E2" s="10"/>
      <c r="F2" s="10"/>
    </row>
    <row r="3" customFormat="false" ht="15" hidden="false" customHeight="true" outlineLevel="0" collapsed="false">
      <c r="B3" s="11" t="s">
        <v>177</v>
      </c>
      <c r="C3" s="11" t="s">
        <v>178</v>
      </c>
      <c r="D3" s="11" t="s">
        <v>179</v>
      </c>
      <c r="E3" s="11" t="s">
        <v>180</v>
      </c>
    </row>
    <row r="4" customFormat="false" ht="15" hidden="false" customHeight="true" outlineLevel="0" collapsed="false">
      <c r="B4" s="12" t="s">
        <v>181</v>
      </c>
      <c r="C4" s="12" t="n">
        <v>68.36</v>
      </c>
      <c r="D4" s="12" t="n">
        <v>153</v>
      </c>
      <c r="E4" s="12" t="s">
        <v>182</v>
      </c>
    </row>
    <row r="5" customFormat="false" ht="15" hidden="false" customHeight="true" outlineLevel="0" collapsed="false">
      <c r="B5" s="14" t="s">
        <v>183</v>
      </c>
      <c r="C5" s="14" t="n">
        <v>18</v>
      </c>
      <c r="D5" s="14" t="n">
        <v>45</v>
      </c>
      <c r="E5" s="14" t="s">
        <v>184</v>
      </c>
    </row>
    <row r="6" customFormat="false" ht="15" hidden="false" customHeight="true" outlineLevel="0" collapsed="false">
      <c r="B6" s="12" t="s">
        <v>185</v>
      </c>
      <c r="C6" s="12" t="n">
        <v>4.5</v>
      </c>
      <c r="D6" s="12" t="n">
        <v>6</v>
      </c>
      <c r="E6" s="12" t="s">
        <v>186</v>
      </c>
    </row>
    <row r="7" customFormat="false" ht="15" hidden="false" customHeight="true" outlineLevel="0" collapsed="false">
      <c r="B7" s="14" t="s">
        <v>187</v>
      </c>
      <c r="C7" s="15" t="n">
        <f aca="false">C6/C5</f>
        <v>0.25</v>
      </c>
      <c r="D7" s="15" t="n">
        <f aca="false">D6/D5</f>
        <v>0.133333333333333</v>
      </c>
      <c r="E7" s="14" t="s">
        <v>188</v>
      </c>
    </row>
    <row r="9" customFormat="false" ht="15" hidden="false" customHeight="true" outlineLevel="0" collapsed="false">
      <c r="B9" s="16" t="s">
        <v>189</v>
      </c>
    </row>
    <row r="11" customFormat="false" ht="27.75" hidden="false" customHeight="true" outlineLevel="0" collapsed="false">
      <c r="B11" s="10" t="s">
        <v>190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B12" s="11" t="s">
        <v>31</v>
      </c>
      <c r="C12" s="17" t="s">
        <v>191</v>
      </c>
      <c r="D12" s="17" t="s">
        <v>192</v>
      </c>
      <c r="E12" s="17" t="s">
        <v>193</v>
      </c>
      <c r="F12" s="11" t="s">
        <v>194</v>
      </c>
      <c r="G12" s="11" t="s">
        <v>195</v>
      </c>
      <c r="H12" s="11" t="s">
        <v>40</v>
      </c>
    </row>
    <row r="13" customFormat="false" ht="15" hidden="false" customHeight="true" outlineLevel="0" collapsed="false">
      <c r="B13" s="12" t="n">
        <v>2025</v>
      </c>
      <c r="C13" s="12" t="n">
        <v>2</v>
      </c>
      <c r="D13" s="12" t="n">
        <v>0.3</v>
      </c>
      <c r="E13" s="12" t="n">
        <v>0.2</v>
      </c>
      <c r="F13" s="26" t="n">
        <f aca="false">C14+D14+E14</f>
        <v>3.8</v>
      </c>
      <c r="G13" s="12" t="s">
        <v>196</v>
      </c>
      <c r="H13" s="12" t="s">
        <v>197</v>
      </c>
    </row>
    <row r="14" customFormat="false" ht="15" hidden="false" customHeight="true" outlineLevel="0" collapsed="false">
      <c r="B14" s="14" t="n">
        <v>2026</v>
      </c>
      <c r="C14" s="14" t="n">
        <v>2.4</v>
      </c>
      <c r="D14" s="14" t="n">
        <v>0.8</v>
      </c>
      <c r="E14" s="14" t="n">
        <v>0.6</v>
      </c>
      <c r="F14" s="26" t="n">
        <f aca="false">C15+D15+E15</f>
        <v>6.2</v>
      </c>
      <c r="G14" s="15" t="n">
        <f aca="false">(F15-F14)/F14</f>
        <v>0.580645161290323</v>
      </c>
      <c r="H14" s="14" t="s">
        <v>198</v>
      </c>
    </row>
    <row r="15" customFormat="false" ht="15" hidden="false" customHeight="true" outlineLevel="0" collapsed="false">
      <c r="B15" s="12" t="n">
        <v>2027</v>
      </c>
      <c r="C15" s="12" t="n">
        <v>2.9</v>
      </c>
      <c r="D15" s="12" t="n">
        <v>1.8</v>
      </c>
      <c r="E15" s="12" t="n">
        <v>1.5</v>
      </c>
      <c r="F15" s="26" t="n">
        <f aca="false">C16+D16+E16</f>
        <v>9.8</v>
      </c>
      <c r="G15" s="13" t="n">
        <f aca="false">(F16-F15)/F15</f>
        <v>0.5</v>
      </c>
      <c r="H15" s="12" t="s">
        <v>199</v>
      </c>
    </row>
    <row r="16" customFormat="false" ht="15" hidden="false" customHeight="true" outlineLevel="0" collapsed="false">
      <c r="B16" s="14" t="n">
        <v>2028</v>
      </c>
      <c r="C16" s="14" t="n">
        <v>3.5</v>
      </c>
      <c r="D16" s="14" t="n">
        <v>3.1</v>
      </c>
      <c r="E16" s="14" t="n">
        <v>3.2</v>
      </c>
      <c r="F16" s="26" t="n">
        <f aca="false">C17+D17+E17</f>
        <v>14.7</v>
      </c>
      <c r="G16" s="15" t="n">
        <f aca="false">(F17-F16)/F16</f>
        <v>-1</v>
      </c>
      <c r="H16" s="14" t="s">
        <v>200</v>
      </c>
    </row>
    <row r="17" customFormat="false" ht="15" hidden="false" customHeight="true" outlineLevel="0" collapsed="false">
      <c r="B17" s="12" t="n">
        <v>2029</v>
      </c>
      <c r="C17" s="12" t="n">
        <v>4.2</v>
      </c>
      <c r="D17" s="12" t="n">
        <v>4.5</v>
      </c>
      <c r="E17" s="12" t="n">
        <v>6</v>
      </c>
      <c r="F17" s="26" t="n">
        <f aca="false">C18+D18+E18</f>
        <v>0</v>
      </c>
      <c r="G17" s="13" t="s">
        <v>201</v>
      </c>
      <c r="H17" s="12" t="s">
        <v>202</v>
      </c>
    </row>
    <row r="20" customFormat="false" ht="11.25" hidden="false" customHeight="true" outlineLevel="0" collapsed="false">
      <c r="B20" s="27" t="s">
        <v>203</v>
      </c>
      <c r="C20" s="27"/>
      <c r="D20" s="27"/>
      <c r="E20" s="27"/>
      <c r="F20" s="27"/>
      <c r="G20" s="27"/>
      <c r="H20" s="27"/>
    </row>
    <row r="21" customFormat="false" ht="15" hidden="false" customHeight="true" outlineLevel="0" collapsed="false">
      <c r="B21" s="16" t="s">
        <v>204</v>
      </c>
    </row>
  </sheetData>
  <mergeCells count="3">
    <mergeCell ref="B2:F2"/>
    <mergeCell ref="B11:H11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5" min="2" style="1" width="35"/>
  </cols>
  <sheetData>
    <row r="2" customFormat="false" ht="27.75" hidden="false" customHeight="true" outlineLevel="0" collapsed="false">
      <c r="B2" s="10" t="s">
        <v>205</v>
      </c>
      <c r="C2" s="10"/>
      <c r="D2" s="10"/>
      <c r="E2" s="10"/>
      <c r="F2" s="10"/>
    </row>
    <row r="3" customFormat="false" ht="15" hidden="false" customHeight="true" outlineLevel="0" collapsed="false">
      <c r="B3" s="11" t="s">
        <v>206</v>
      </c>
      <c r="C3" s="11" t="s">
        <v>207</v>
      </c>
      <c r="D3" s="11" t="s">
        <v>208</v>
      </c>
      <c r="E3" s="11" t="s">
        <v>209</v>
      </c>
    </row>
    <row r="4" customFormat="false" ht="15" hidden="false" customHeight="true" outlineLevel="0" collapsed="false">
      <c r="B4" s="28" t="s">
        <v>210</v>
      </c>
      <c r="C4" s="12" t="s">
        <v>211</v>
      </c>
      <c r="D4" s="12" t="s">
        <v>212</v>
      </c>
      <c r="E4" s="12" t="s">
        <v>213</v>
      </c>
    </row>
    <row r="5" customFormat="false" ht="15" hidden="false" customHeight="true" outlineLevel="0" collapsed="false">
      <c r="B5" s="29" t="s">
        <v>214</v>
      </c>
      <c r="C5" s="14" t="s">
        <v>215</v>
      </c>
      <c r="D5" s="14" t="s">
        <v>216</v>
      </c>
      <c r="E5" s="14" t="s">
        <v>217</v>
      </c>
    </row>
    <row r="6" customFormat="false" ht="15" hidden="false" customHeight="true" outlineLevel="0" collapsed="false">
      <c r="B6" s="28" t="s">
        <v>218</v>
      </c>
      <c r="C6" s="12" t="s">
        <v>219</v>
      </c>
      <c r="D6" s="12" t="s">
        <v>220</v>
      </c>
      <c r="E6" s="12" t="s">
        <v>221</v>
      </c>
    </row>
    <row r="7" customFormat="false" ht="15" hidden="false" customHeight="true" outlineLevel="0" collapsed="false">
      <c r="B7" s="29" t="s">
        <v>222</v>
      </c>
      <c r="C7" s="14" t="s">
        <v>223</v>
      </c>
      <c r="D7" s="14" t="s">
        <v>224</v>
      </c>
      <c r="E7" s="14" t="s">
        <v>225</v>
      </c>
    </row>
    <row r="8" customFormat="false" ht="15" hidden="false" customHeight="true" outlineLevel="0" collapsed="false">
      <c r="B8" s="28" t="s">
        <v>226</v>
      </c>
      <c r="C8" s="12" t="s">
        <v>227</v>
      </c>
      <c r="D8" s="12" t="s">
        <v>228</v>
      </c>
      <c r="E8" s="12" t="s">
        <v>213</v>
      </c>
    </row>
    <row r="9" customFormat="false" ht="15" hidden="false" customHeight="true" outlineLevel="0" collapsed="false">
      <c r="B9" s="29" t="s">
        <v>229</v>
      </c>
      <c r="C9" s="14" t="s">
        <v>230</v>
      </c>
      <c r="D9" s="14" t="s">
        <v>231</v>
      </c>
      <c r="E9" s="14" t="s">
        <v>232</v>
      </c>
    </row>
    <row r="10" customFormat="false" ht="15" hidden="false" customHeight="true" outlineLevel="0" collapsed="false">
      <c r="B10" s="28" t="s">
        <v>233</v>
      </c>
      <c r="C10" s="12" t="s">
        <v>234</v>
      </c>
      <c r="D10" s="12" t="s">
        <v>235</v>
      </c>
      <c r="E10" s="12" t="s">
        <v>236</v>
      </c>
    </row>
    <row r="11" customFormat="false" ht="15" hidden="false" customHeight="true" outlineLevel="0" collapsed="false">
      <c r="B11" s="29" t="s">
        <v>237</v>
      </c>
      <c r="C11" s="14" t="s">
        <v>238</v>
      </c>
      <c r="D11" s="14" t="s">
        <v>239</v>
      </c>
      <c r="E11" s="14" t="s">
        <v>240</v>
      </c>
    </row>
    <row r="12" customFormat="false" ht="15" hidden="false" customHeight="true" outlineLevel="0" collapsed="false">
      <c r="B12" s="28" t="s">
        <v>241</v>
      </c>
      <c r="C12" s="12" t="s">
        <v>242</v>
      </c>
      <c r="D12" s="12" t="s">
        <v>243</v>
      </c>
      <c r="E12" s="12" t="s">
        <v>244</v>
      </c>
    </row>
    <row r="14" customFormat="false" ht="27.75" hidden="false" customHeight="true" outlineLevel="0" collapsed="false">
      <c r="B14" s="10" t="s">
        <v>245</v>
      </c>
      <c r="C14" s="10"/>
      <c r="D14" s="10"/>
      <c r="E14" s="10"/>
    </row>
    <row r="15" customFormat="false" ht="15" hidden="false" customHeight="true" outlineLevel="0" collapsed="false">
      <c r="B15" s="11" t="s">
        <v>246</v>
      </c>
      <c r="C15" s="11" t="s">
        <v>247</v>
      </c>
      <c r="D15" s="11" t="s">
        <v>248</v>
      </c>
      <c r="E15" s="11" t="s">
        <v>40</v>
      </c>
    </row>
    <row r="16" customFormat="false" ht="15" hidden="false" customHeight="true" outlineLevel="0" collapsed="false">
      <c r="B16" s="12" t="s">
        <v>249</v>
      </c>
      <c r="C16" s="12" t="n">
        <v>82</v>
      </c>
      <c r="D16" s="18" t="s">
        <v>250</v>
      </c>
      <c r="E16" s="12" t="s">
        <v>251</v>
      </c>
    </row>
    <row r="17" customFormat="false" ht="15" hidden="false" customHeight="true" outlineLevel="0" collapsed="false">
      <c r="B17" s="14" t="s">
        <v>252</v>
      </c>
      <c r="C17" s="14" t="n">
        <v>78</v>
      </c>
      <c r="D17" s="18" t="s">
        <v>250</v>
      </c>
      <c r="E17" s="14" t="s">
        <v>253</v>
      </c>
    </row>
    <row r="18" customFormat="false" ht="15" hidden="false" customHeight="true" outlineLevel="0" collapsed="false">
      <c r="B18" s="12" t="s">
        <v>254</v>
      </c>
      <c r="C18" s="12" t="n">
        <v>75</v>
      </c>
      <c r="D18" s="18" t="s">
        <v>250</v>
      </c>
      <c r="E18" s="12" t="s">
        <v>255</v>
      </c>
    </row>
    <row r="19" customFormat="false" ht="15" hidden="false" customHeight="true" outlineLevel="0" collapsed="false">
      <c r="B19" s="14" t="s">
        <v>256</v>
      </c>
      <c r="C19" s="14" t="n">
        <v>70</v>
      </c>
      <c r="D19" s="30" t="s">
        <v>257</v>
      </c>
      <c r="E19" s="14" t="s">
        <v>258</v>
      </c>
    </row>
    <row r="20" customFormat="false" ht="15" hidden="false" customHeight="true" outlineLevel="0" collapsed="false">
      <c r="B20" s="12" t="s">
        <v>259</v>
      </c>
      <c r="C20" s="12" t="n">
        <v>65</v>
      </c>
      <c r="D20" s="30" t="s">
        <v>257</v>
      </c>
      <c r="E20" s="12" t="s">
        <v>260</v>
      </c>
    </row>
    <row r="22" customFormat="false" ht="27.75" hidden="false" customHeight="true" outlineLevel="0" collapsed="false">
      <c r="B22" s="10" t="s">
        <v>261</v>
      </c>
      <c r="C22" s="10"/>
      <c r="D22" s="10"/>
    </row>
    <row r="23" customFormat="false" ht="15" hidden="false" customHeight="true" outlineLevel="0" collapsed="false">
      <c r="B23" s="11" t="s">
        <v>262</v>
      </c>
      <c r="C23" s="11" t="s">
        <v>263</v>
      </c>
      <c r="D23" s="11" t="s">
        <v>40</v>
      </c>
    </row>
    <row r="24" customFormat="false" ht="15" hidden="false" customHeight="true" outlineLevel="0" collapsed="false">
      <c r="B24" s="12" t="s">
        <v>264</v>
      </c>
      <c r="C24" s="31" t="n">
        <v>0.89</v>
      </c>
      <c r="D24" s="12" t="s">
        <v>265</v>
      </c>
    </row>
    <row r="25" customFormat="false" ht="15" hidden="false" customHeight="true" outlineLevel="0" collapsed="false">
      <c r="B25" s="14" t="s">
        <v>266</v>
      </c>
      <c r="C25" s="31" t="n">
        <v>0.95</v>
      </c>
      <c r="D25" s="14" t="s">
        <v>267</v>
      </c>
    </row>
    <row r="26" customFormat="false" ht="15" hidden="false" customHeight="true" outlineLevel="0" collapsed="false">
      <c r="B26" s="12" t="s">
        <v>268</v>
      </c>
      <c r="C26" s="20" t="n">
        <v>0.58</v>
      </c>
      <c r="D26" s="12" t="s">
        <v>269</v>
      </c>
    </row>
    <row r="27" customFormat="false" ht="15" hidden="false" customHeight="true" outlineLevel="0" collapsed="false">
      <c r="B27" s="14" t="s">
        <v>270</v>
      </c>
      <c r="C27" s="31" t="n">
        <v>0.78</v>
      </c>
      <c r="D27" s="14" t="s">
        <v>271</v>
      </c>
    </row>
    <row r="28" customFormat="false" ht="15" hidden="false" customHeight="true" outlineLevel="0" collapsed="false">
      <c r="B28" s="12" t="s">
        <v>272</v>
      </c>
      <c r="C28" s="31" t="n">
        <v>0.76</v>
      </c>
      <c r="D28" s="12" t="s">
        <v>273</v>
      </c>
    </row>
    <row r="29" customFormat="false" ht="15" hidden="false" customHeight="true" outlineLevel="0" collapsed="false">
      <c r="B29" s="14" t="s">
        <v>274</v>
      </c>
      <c r="C29" s="21" t="n">
        <v>0.62</v>
      </c>
      <c r="D29" s="14" t="s">
        <v>275</v>
      </c>
    </row>
    <row r="31" customFormat="false" ht="15" hidden="false" customHeight="true" outlineLevel="0" collapsed="false">
      <c r="B31" s="16" t="s">
        <v>276</v>
      </c>
    </row>
  </sheetData>
  <mergeCells count="3">
    <mergeCell ref="B2:F2"/>
    <mergeCell ref="B14:E14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2026-03-03T07:42:11Z</dcterms:created>
  <dc:creator>openpyxl</dc:creator>
  <dc:description/>
  <dc:language>en-US</dc:language>
  <cp:lastModifiedBy/>
  <dcterms:modified xsi:type="dcterms:W3CDTF">2026-03-03T07:42:42Z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